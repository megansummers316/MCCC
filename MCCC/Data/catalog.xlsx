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cdb00829658b64/Documents/Crochet/MCCC/MCCC/Data/"/>
    </mc:Choice>
  </mc:AlternateContent>
  <xr:revisionPtr revIDLastSave="474" documentId="8_{C2233ACA-21A4-415D-A3EB-C25FF75F4FF0}" xr6:coauthVersionLast="47" xr6:coauthVersionMax="47" xr10:uidLastSave="{101555CF-985E-4712-B1EC-6B11AAEE1AC8}"/>
  <bookViews>
    <workbookView xWindow="-120" yWindow="-120" windowWidth="29040" windowHeight="15720" xr2:uid="{D99117FC-4EF0-44A2-9BD9-65554D1BB8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1" i="1"/>
  <c r="L42" i="1"/>
  <c r="L43" i="1"/>
  <c r="L44" i="1"/>
  <c r="L45" i="1"/>
  <c r="L46" i="1"/>
  <c r="L47" i="1"/>
  <c r="L48" i="1"/>
  <c r="L49" i="1"/>
  <c r="L50" i="1"/>
  <c r="L2" i="1"/>
  <c r="K2" i="1"/>
  <c r="J2" i="1"/>
  <c r="J4" i="1"/>
  <c r="K4" i="1" s="1"/>
  <c r="J5" i="1"/>
  <c r="K5" i="1" s="1"/>
  <c r="J6" i="1"/>
  <c r="K6" i="1" s="1"/>
  <c r="J7" i="1"/>
  <c r="K7" i="1" s="1"/>
  <c r="J8" i="1"/>
  <c r="J9" i="1"/>
  <c r="J10" i="1"/>
  <c r="J11" i="1"/>
  <c r="J12" i="1"/>
  <c r="J13" i="1"/>
  <c r="J14" i="1"/>
  <c r="J15" i="1"/>
  <c r="K15" i="1" s="1"/>
  <c r="J16" i="1"/>
  <c r="J17" i="1"/>
  <c r="J18" i="1"/>
  <c r="J19" i="1"/>
  <c r="J20" i="1"/>
  <c r="J21" i="1"/>
  <c r="J22" i="1"/>
  <c r="J23" i="1"/>
  <c r="J24" i="1"/>
  <c r="J25" i="1"/>
  <c r="J26" i="1"/>
  <c r="J27" i="1"/>
  <c r="K27" i="1" s="1"/>
  <c r="J28" i="1"/>
  <c r="J29" i="1"/>
  <c r="J30" i="1"/>
  <c r="J31" i="1"/>
  <c r="J32" i="1"/>
  <c r="J33" i="1"/>
  <c r="J34" i="1"/>
  <c r="J35" i="1"/>
  <c r="J36" i="1"/>
  <c r="K36" i="1" s="1"/>
  <c r="J37" i="1"/>
  <c r="J38" i="1"/>
  <c r="J39" i="1"/>
  <c r="K39" i="1" s="1"/>
  <c r="J40" i="1"/>
  <c r="J41" i="1"/>
  <c r="J42" i="1"/>
  <c r="J43" i="1"/>
  <c r="J44" i="1"/>
  <c r="J45" i="1"/>
  <c r="J46" i="1"/>
  <c r="J47" i="1"/>
  <c r="J48" i="1"/>
  <c r="J49" i="1"/>
  <c r="J50" i="1"/>
  <c r="J3" i="1"/>
  <c r="K3" i="1" s="1"/>
  <c r="K8" i="1"/>
  <c r="K9" i="1"/>
  <c r="K10" i="1"/>
  <c r="K11" i="1"/>
  <c r="K12" i="1"/>
  <c r="K13" i="1"/>
  <c r="K14" i="1"/>
  <c r="K16" i="1"/>
  <c r="K17" i="1"/>
  <c r="K18" i="1"/>
  <c r="K19" i="1"/>
  <c r="K20" i="1"/>
  <c r="K21" i="1"/>
  <c r="K22" i="1"/>
  <c r="K23" i="1"/>
  <c r="K24" i="1"/>
  <c r="K25" i="1"/>
  <c r="K26" i="1"/>
  <c r="K28" i="1"/>
  <c r="K29" i="1"/>
  <c r="K30" i="1"/>
  <c r="K31" i="1"/>
  <c r="K32" i="1"/>
  <c r="K33" i="1"/>
  <c r="K34" i="1"/>
  <c r="K35" i="1"/>
  <c r="K37" i="1"/>
  <c r="K38" i="1"/>
  <c r="K41" i="1"/>
  <c r="K42" i="1"/>
  <c r="K43" i="1"/>
  <c r="K44" i="1"/>
  <c r="K45" i="1"/>
  <c r="K46" i="1"/>
  <c r="K47" i="1"/>
  <c r="K48" i="1"/>
  <c r="K49" i="1"/>
  <c r="K50" i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H40" i="1" s="1"/>
  <c r="K40" i="1" s="1"/>
  <c r="L40" i="1" s="1"/>
  <c r="F41" i="1"/>
  <c r="H41" i="1" s="1"/>
  <c r="F42" i="1"/>
  <c r="H42" i="1" s="1"/>
  <c r="F43" i="1"/>
  <c r="H43" i="1" s="1"/>
  <c r="F44" i="1"/>
  <c r="H44" i="1" s="1"/>
  <c r="F45" i="1"/>
  <c r="H45" i="1" s="1"/>
  <c r="F46" i="1"/>
  <c r="H46" i="1" s="1"/>
  <c r="F47" i="1"/>
  <c r="H47" i="1" s="1"/>
  <c r="F48" i="1"/>
  <c r="H48" i="1" s="1"/>
  <c r="F49" i="1"/>
  <c r="H49" i="1" s="1"/>
  <c r="F50" i="1"/>
  <c r="H50" i="1" s="1"/>
  <c r="F2" i="1"/>
  <c r="H2" i="1" s="1"/>
</calcChain>
</file>

<file path=xl/sharedStrings.xml><?xml version="1.0" encoding="utf-8"?>
<sst xmlns="http://schemas.openxmlformats.org/spreadsheetml/2006/main" count="166" uniqueCount="155">
  <si>
    <t>Name</t>
  </si>
  <si>
    <t>Price</t>
  </si>
  <si>
    <t>Image Name</t>
  </si>
  <si>
    <t>Applesaurus</t>
  </si>
  <si>
    <t>Baby Ballerina Slippers</t>
  </si>
  <si>
    <t>Baby Dino</t>
  </si>
  <si>
    <t>Baby Sleep Sack</t>
  </si>
  <si>
    <t>Baby Clothing Set</t>
  </si>
  <si>
    <t>Butterfly Blanket</t>
  </si>
  <si>
    <t>Camera Purse</t>
  </si>
  <si>
    <t>Flowers</t>
  </si>
  <si>
    <t>Daisies</t>
  </si>
  <si>
    <t>Dinosaur Dog Sweater</t>
  </si>
  <si>
    <t>Dinosaur Pillow</t>
  </si>
  <si>
    <t>Dog Pouch</t>
  </si>
  <si>
    <t>Easter Wreath</t>
  </si>
  <si>
    <t>Emotional Dumplings</t>
  </si>
  <si>
    <t>Forest Dragon</t>
  </si>
  <si>
    <t>Giant Jellyfish</t>
  </si>
  <si>
    <t>Giraffe Keychain</t>
  </si>
  <si>
    <t>Granny Stitch Bucket Hat</t>
  </si>
  <si>
    <t>Strawberry Bucket Hat</t>
  </si>
  <si>
    <t>Halter Top</t>
  </si>
  <si>
    <t>Hanging Vine</t>
  </si>
  <si>
    <t>Hanging Name Sign</t>
  </si>
  <si>
    <t>Honeycomb Habitat</t>
  </si>
  <si>
    <t>Hooded Cowl</t>
  </si>
  <si>
    <t>Ice Cream Turtle</t>
  </si>
  <si>
    <t>It's 420 Somewhere</t>
  </si>
  <si>
    <t>Floor-Length Dress</t>
  </si>
  <si>
    <t>Cover-Up Sweater</t>
  </si>
  <si>
    <t>Lap Blanket</t>
  </si>
  <si>
    <t>Laptop Case</t>
  </si>
  <si>
    <t>Lavendar</t>
  </si>
  <si>
    <t>Little Gnome</t>
  </si>
  <si>
    <t>Loonette (Big Comfy Couch)</t>
  </si>
  <si>
    <t>Mom and Me Bandanas</t>
  </si>
  <si>
    <t>Matching Sweaters</t>
  </si>
  <si>
    <t>90/sweater</t>
  </si>
  <si>
    <t>Molly Doll</t>
  </si>
  <si>
    <t>Penguin Keychain</t>
  </si>
  <si>
    <t>Personalized Blanket</t>
  </si>
  <si>
    <t>Pocket Turtle</t>
  </si>
  <si>
    <t>Pokeball</t>
  </si>
  <si>
    <t>Pokemon (Charmander, Squirtle, Bulbasaur, Snorlax)</t>
  </si>
  <si>
    <t>Potion Bottle Dice Holders</t>
  </si>
  <si>
    <t>Over-The-Shoulder Purse</t>
  </si>
  <si>
    <t>Sleeping Kirby</t>
  </si>
  <si>
    <t>Jellyfish</t>
  </si>
  <si>
    <t>Starfish</t>
  </si>
  <si>
    <t>Tank Top Dress</t>
  </si>
  <si>
    <t>Tic Tac Toe</t>
  </si>
  <si>
    <t>T-Rex</t>
  </si>
  <si>
    <t>applesaurus.JPG</t>
  </si>
  <si>
    <t>babyBallerinaSlippers.JPG</t>
  </si>
  <si>
    <t>babyDino.JPG</t>
  </si>
  <si>
    <t>babySack.JPG</t>
  </si>
  <si>
    <t>babySet.JPG</t>
  </si>
  <si>
    <t>butterflyRainbowBlanket.JPG</t>
  </si>
  <si>
    <t>cameraPurse.JPG</t>
  </si>
  <si>
    <t>daffodilNarcussis.JPG</t>
  </si>
  <si>
    <t>daisies.JPG</t>
  </si>
  <si>
    <t>tRex.JPG</t>
  </si>
  <si>
    <t>ticTacToe.JPG</t>
  </si>
  <si>
    <t>tankDress.JPG</t>
  </si>
  <si>
    <t>starfish.JPG</t>
  </si>
  <si>
    <t>smallJellyfish.JPG</t>
  </si>
  <si>
    <t>sleepingKirby.JPG</t>
  </si>
  <si>
    <t>shoulderPurse.JPG</t>
  </si>
  <si>
    <t>potionBottle.JPG</t>
  </si>
  <si>
    <t>pokemon.JPG</t>
  </si>
  <si>
    <t>pokeball.JPG</t>
  </si>
  <si>
    <t>pocketTurtle.JPG</t>
  </si>
  <si>
    <t>personalizedBlanket.JPG</t>
  </si>
  <si>
    <t>penguinKeychain.JPG</t>
  </si>
  <si>
    <t>mollyDoll.JPG</t>
  </si>
  <si>
    <t>matchingSweaters.JPG</t>
  </si>
  <si>
    <t>matchingBandanas.JPG</t>
  </si>
  <si>
    <t>loonette.JPG</t>
  </si>
  <si>
    <t>littleGnome.JPG</t>
  </si>
  <si>
    <t>lavendar.JPG</t>
  </si>
  <si>
    <t>laptopCase.JPG</t>
  </si>
  <si>
    <t>lapBlanket.JPG</t>
  </si>
  <si>
    <t>laceSweater.JPG</t>
  </si>
  <si>
    <t>laceDress.JPG</t>
  </si>
  <si>
    <t>its420Blanket.JPG</t>
  </si>
  <si>
    <t>iceCreamTurtle.JPG</t>
  </si>
  <si>
    <t>hoodedCowl.JPG</t>
  </si>
  <si>
    <t>honeyComb.JPG</t>
  </si>
  <si>
    <t>hangingName.JPG</t>
  </si>
  <si>
    <t>hangingFlowers.JPG</t>
  </si>
  <si>
    <t>halterTop.JPG</t>
  </si>
  <si>
    <t>grannyStitchBucketHat2.JPG</t>
  </si>
  <si>
    <t>grannyStitchBucketHat1.JPG</t>
  </si>
  <si>
    <t>giraffeKeychain.JPG</t>
  </si>
  <si>
    <t>dogDinoSweater.JPG</t>
  </si>
  <si>
    <t>dinoPillow.JPG</t>
  </si>
  <si>
    <t>dogPouch.JPG</t>
  </si>
  <si>
    <t>emotionalDumplings.JPG</t>
  </si>
  <si>
    <t>easterWreath.JPG</t>
  </si>
  <si>
    <t>giantDragon.JPG</t>
  </si>
  <si>
    <t>giantJellyfish.JPG</t>
  </si>
  <si>
    <t>5/each</t>
  </si>
  <si>
    <t>Description</t>
  </si>
  <si>
    <t>30-60/each</t>
  </si>
  <si>
    <t>1ft in height by 1ft in length</t>
  </si>
  <si>
    <t>Made for a 10lbs Goldendoodle puppy</t>
  </si>
  <si>
    <t>Fits 2-month-old baby</t>
  </si>
  <si>
    <t>Can be made in sizes Newborn, 3-6m, 6-12m</t>
  </si>
  <si>
    <t>Made for a 24lbs Goldendoodle dog</t>
  </si>
  <si>
    <t>Small enough to fit in your pocket! (~2in wide)</t>
  </si>
  <si>
    <t>8.5ft long from nose to tail (sitting on a double bed)</t>
  </si>
  <si>
    <t>1ft long</t>
  </si>
  <si>
    <t>One size fits all</t>
  </si>
  <si>
    <t>Picture shows 2 medium tops</t>
  </si>
  <si>
    <t>Made for a gecko, the honeycomb is around 4in wide and 7in tall</t>
  </si>
  <si>
    <t>Adult size</t>
  </si>
  <si>
    <t>5ft by 5.5ft</t>
  </si>
  <si>
    <t>3.5ft long</t>
  </si>
  <si>
    <t>4in tall</t>
  </si>
  <si>
    <t>16in by 16in</t>
  </si>
  <si>
    <t>5in by 7in</t>
  </si>
  <si>
    <t>6in tall</t>
  </si>
  <si>
    <t>4ft long by 2ft wide</t>
  </si>
  <si>
    <t>Medium fit</t>
  </si>
  <si>
    <t>5in tall</t>
  </si>
  <si>
    <t>Each letter is about 4in wide</t>
  </si>
  <si>
    <t>20in tall</t>
  </si>
  <si>
    <t>1ft tall</t>
  </si>
  <si>
    <t>2in wide</t>
  </si>
  <si>
    <t>8in tall</t>
  </si>
  <si>
    <t>1ft wide</t>
  </si>
  <si>
    <t>4in wide</t>
  </si>
  <si>
    <t>4in wide by 6in tall</t>
  </si>
  <si>
    <t>7in wide</t>
  </si>
  <si>
    <t>6in by 1ft</t>
  </si>
  <si>
    <t>Medium to XL fit</t>
  </si>
  <si>
    <t>Fits 17in laptop</t>
  </si>
  <si>
    <t>16in tall by 8in wide</t>
  </si>
  <si>
    <t>2in wide by 1ft tall</t>
  </si>
  <si>
    <t>1in wide by 1ft tall</t>
  </si>
  <si>
    <t>3.5in wide by 1ft tall</t>
  </si>
  <si>
    <t>Fits 1-year-old</t>
  </si>
  <si>
    <t>18in square</t>
  </si>
  <si>
    <t>Time to Make (hrs)</t>
  </si>
  <si>
    <t>2.5 months</t>
  </si>
  <si>
    <t>75 days</t>
  </si>
  <si>
    <t>5 hours</t>
  </si>
  <si>
    <t>Materials</t>
  </si>
  <si>
    <t>Labour</t>
  </si>
  <si>
    <t>Labour Rate</t>
  </si>
  <si>
    <t>Discount</t>
  </si>
  <si>
    <t>Subtotal</t>
  </si>
  <si>
    <t>Total Discount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</si>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</sst>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&quot;$&quot;#,##0.00"/>
    <numFmt numFmtId="168" formatCode="&quot;$&quot;#,##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0" fillId="2" borderId="0" xfId="0" applyFill="1"/>
    <xf numFmtId="164" fontId="0" fillId="0" borderId="0" xfId="0" applyNumberFormat="1"/>
    <xf numFmtId="164" fontId="0" fillId="0" borderId="0" xfId="0" applyNumberFormat="1" applyFill="1" applyAlignment="1">
      <alignment horizontal="center"/>
    </xf>
    <xf numFmtId="168" fontId="0" fillId="3" borderId="0" xfId="0" applyNumberFormat="1" applyFill="1" applyAlignment="1">
      <alignment horizontal="center"/>
    </xf>
    <xf numFmtId="168" fontId="0" fillId="3" borderId="0" xfId="1" applyNumberFormat="1" applyFont="1" applyFill="1" applyAlignment="1">
      <alignment horizontal="center"/>
    </xf>
    <xf numFmtId="0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0" fontId="0" fillId="4" borderId="0" xfId="0" applyNumberFormat="1" applyFill="1" applyAlignment="1">
      <alignment horizontal="center"/>
    </xf>
  </cellXfs>
  <cellStyles count="2">
    <cellStyle name="Currency" xfId="1" builtinId="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C9D55-FAC3-40FD-B87F-807CEE1EC2A8}">
  <dimension ref="A1:O50"/>
  <sheetViews>
    <sheetView tabSelected="1" workbookViewId="0">
      <selection activeCell="I1" sqref="I1:I1048576"/>
    </sheetView>
  </sheetViews>
  <sheetFormatPr defaultRowHeight="15" x14ac:dyDescent="0.25"/>
  <cols>
    <col min="1" max="1" width="25.28515625" customWidth="1"/>
    <col min="2" max="2" width="13.42578125" customWidth="1"/>
    <col min="3" max="3" width="26.42578125" customWidth="1"/>
    <col min="4" max="4" width="61.28515625" customWidth="1"/>
    <col min="5" max="5" width="18.28515625" style="6" customWidth="1"/>
    <col min="6" max="6" width="23" style="4" customWidth="1"/>
    <col min="7" max="7" width="20" style="7" customWidth="1"/>
    <col min="8" max="8" width="18.140625" style="5" customWidth="1"/>
    <col min="9" max="9" width="17.140625" style="8" customWidth="1"/>
    <col min="10" max="10" width="16.28515625" style="4" customWidth="1"/>
    <col min="11" max="11" width="15.140625" style="3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103</v>
      </c>
      <c r="E1" s="6" t="s">
        <v>144</v>
      </c>
      <c r="F1" s="4" t="s">
        <v>149</v>
      </c>
      <c r="G1" s="7" t="s">
        <v>148</v>
      </c>
      <c r="H1" s="5" t="s">
        <v>152</v>
      </c>
      <c r="I1" s="8" t="s">
        <v>151</v>
      </c>
      <c r="J1" s="4" t="s">
        <v>153</v>
      </c>
      <c r="K1" s="3" t="s">
        <v>1</v>
      </c>
      <c r="L1" t="s">
        <v>154</v>
      </c>
      <c r="N1" s="1" t="s">
        <v>150</v>
      </c>
      <c r="O1" s="1">
        <v>20</v>
      </c>
    </row>
    <row r="2" spans="1:15" x14ac:dyDescent="0.25">
      <c r="A2" t="s">
        <v>3</v>
      </c>
      <c r="B2">
        <v>30</v>
      </c>
      <c r="C2" t="s">
        <v>53</v>
      </c>
      <c r="D2" t="s">
        <v>122</v>
      </c>
      <c r="E2" s="6">
        <v>2</v>
      </c>
      <c r="F2" s="4">
        <f>E2*$O$1</f>
        <v>40</v>
      </c>
      <c r="H2" s="5">
        <f>F2+G2</f>
        <v>40</v>
      </c>
      <c r="J2" s="4">
        <f>IF(I2=0,0,(H2*I2))</f>
        <v>0</v>
      </c>
      <c r="K2" s="3">
        <f>H2-J2</f>
        <v>40</v>
      </c>
      <c r="L2" s="2">
        <f>B2-K2</f>
        <v>-10</v>
      </c>
    </row>
    <row r="3" spans="1:15" x14ac:dyDescent="0.25">
      <c r="A3" t="s">
        <v>4</v>
      </c>
      <c r="B3">
        <v>15</v>
      </c>
      <c r="C3" t="s">
        <v>54</v>
      </c>
      <c r="D3" t="s">
        <v>108</v>
      </c>
      <c r="E3" s="6">
        <v>0.25</v>
      </c>
      <c r="F3" s="4">
        <f>E3*$O$1</f>
        <v>5</v>
      </c>
      <c r="G3" s="7">
        <v>1</v>
      </c>
      <c r="H3" s="5">
        <f t="shared" ref="H3:H50" si="0">F3+G3</f>
        <v>6</v>
      </c>
      <c r="I3" s="8">
        <v>0.2</v>
      </c>
      <c r="J3" s="4">
        <f>IF(I3=0,0,(H3*I3))</f>
        <v>1.2000000000000002</v>
      </c>
      <c r="K3" s="3">
        <f>H3-J3</f>
        <v>4.8</v>
      </c>
      <c r="L3" s="2">
        <f t="shared" ref="L3:L50" si="1">B3-K3</f>
        <v>10.199999999999999</v>
      </c>
    </row>
    <row r="4" spans="1:15" x14ac:dyDescent="0.25">
      <c r="A4" t="s">
        <v>5</v>
      </c>
      <c r="B4">
        <v>20</v>
      </c>
      <c r="C4" t="s">
        <v>55</v>
      </c>
      <c r="D4" t="s">
        <v>122</v>
      </c>
      <c r="E4" s="6">
        <v>1</v>
      </c>
      <c r="F4" s="4">
        <f>E4*$O$1</f>
        <v>20</v>
      </c>
      <c r="H4" s="5">
        <f t="shared" si="0"/>
        <v>20</v>
      </c>
      <c r="I4" s="8">
        <v>0</v>
      </c>
      <c r="J4" s="4">
        <f t="shared" ref="J4:J51" si="2">IF(I4=0,0,(H4*I4))</f>
        <v>0</v>
      </c>
      <c r="K4" s="3">
        <f t="shared" ref="K4:K50" si="3">H4-J4</f>
        <v>20</v>
      </c>
      <c r="L4" s="2">
        <f t="shared" si="1"/>
        <v>0</v>
      </c>
    </row>
    <row r="5" spans="1:15" x14ac:dyDescent="0.25">
      <c r="A5" t="s">
        <v>6</v>
      </c>
      <c r="B5">
        <v>30</v>
      </c>
      <c r="C5" t="s">
        <v>56</v>
      </c>
      <c r="D5" t="s">
        <v>107</v>
      </c>
      <c r="E5" s="6">
        <v>1.5</v>
      </c>
      <c r="F5" s="4">
        <f>E5*$O$1</f>
        <v>30</v>
      </c>
      <c r="H5" s="5">
        <f t="shared" si="0"/>
        <v>30</v>
      </c>
      <c r="I5" s="8">
        <v>0</v>
      </c>
      <c r="J5" s="4">
        <f t="shared" si="2"/>
        <v>0</v>
      </c>
      <c r="K5" s="3">
        <f t="shared" si="3"/>
        <v>30</v>
      </c>
      <c r="L5" s="2">
        <f t="shared" si="1"/>
        <v>0</v>
      </c>
    </row>
    <row r="6" spans="1:15" x14ac:dyDescent="0.25">
      <c r="A6" t="s">
        <v>7</v>
      </c>
      <c r="B6">
        <v>55</v>
      </c>
      <c r="C6" t="s">
        <v>57</v>
      </c>
      <c r="D6" t="s">
        <v>142</v>
      </c>
      <c r="E6" s="6">
        <v>4</v>
      </c>
      <c r="F6" s="4">
        <f>E6*$O$1</f>
        <v>80</v>
      </c>
      <c r="H6" s="5">
        <f t="shared" si="0"/>
        <v>80</v>
      </c>
      <c r="I6" s="8">
        <v>0</v>
      </c>
      <c r="J6" s="4">
        <f t="shared" si="2"/>
        <v>0</v>
      </c>
      <c r="K6" s="3">
        <f t="shared" si="3"/>
        <v>80</v>
      </c>
      <c r="L6" s="2">
        <f t="shared" si="1"/>
        <v>-25</v>
      </c>
    </row>
    <row r="7" spans="1:15" x14ac:dyDescent="0.25">
      <c r="A7" t="s">
        <v>8</v>
      </c>
      <c r="B7">
        <v>100</v>
      </c>
      <c r="C7" t="s">
        <v>58</v>
      </c>
      <c r="D7" t="s">
        <v>143</v>
      </c>
      <c r="E7" s="6">
        <v>10</v>
      </c>
      <c r="F7" s="4">
        <f>E7*$O$1</f>
        <v>200</v>
      </c>
      <c r="H7" s="5">
        <f t="shared" si="0"/>
        <v>200</v>
      </c>
      <c r="J7" s="4">
        <f t="shared" si="2"/>
        <v>0</v>
      </c>
      <c r="K7" s="3">
        <f t="shared" si="3"/>
        <v>200</v>
      </c>
      <c r="L7" s="2">
        <f t="shared" si="1"/>
        <v>-100</v>
      </c>
    </row>
    <row r="8" spans="1:15" x14ac:dyDescent="0.25">
      <c r="A8" t="s">
        <v>9</v>
      </c>
      <c r="B8">
        <v>20</v>
      </c>
      <c r="C8" t="s">
        <v>59</v>
      </c>
      <c r="D8" t="s">
        <v>121</v>
      </c>
      <c r="E8" s="6">
        <v>1</v>
      </c>
      <c r="F8" s="4">
        <f>E8*$O$1</f>
        <v>20</v>
      </c>
      <c r="H8" s="5">
        <f t="shared" si="0"/>
        <v>20</v>
      </c>
      <c r="J8" s="4">
        <f t="shared" si="2"/>
        <v>0</v>
      </c>
      <c r="K8" s="3">
        <f t="shared" si="3"/>
        <v>20</v>
      </c>
      <c r="L8" s="2">
        <f t="shared" si="1"/>
        <v>0</v>
      </c>
    </row>
    <row r="9" spans="1:15" x14ac:dyDescent="0.25">
      <c r="A9" t="s">
        <v>10</v>
      </c>
      <c r="B9">
        <v>10</v>
      </c>
      <c r="C9" t="s">
        <v>60</v>
      </c>
      <c r="D9" t="s">
        <v>141</v>
      </c>
      <c r="E9" s="6">
        <v>0.15</v>
      </c>
      <c r="F9" s="4">
        <f>E9*$O$1</f>
        <v>3</v>
      </c>
      <c r="H9" s="5">
        <f t="shared" si="0"/>
        <v>3</v>
      </c>
      <c r="J9" s="4">
        <f t="shared" si="2"/>
        <v>0</v>
      </c>
      <c r="K9" s="3">
        <f t="shared" si="3"/>
        <v>3</v>
      </c>
      <c r="L9" s="2">
        <f t="shared" si="1"/>
        <v>7</v>
      </c>
    </row>
    <row r="10" spans="1:15" x14ac:dyDescent="0.25">
      <c r="A10" t="s">
        <v>11</v>
      </c>
      <c r="B10">
        <v>8</v>
      </c>
      <c r="C10" t="s">
        <v>61</v>
      </c>
      <c r="D10" t="s">
        <v>139</v>
      </c>
      <c r="E10" s="6">
        <v>0.25</v>
      </c>
      <c r="F10" s="4">
        <f>E10*$O$1</f>
        <v>5</v>
      </c>
      <c r="H10" s="5">
        <f t="shared" si="0"/>
        <v>5</v>
      </c>
      <c r="J10" s="4">
        <f t="shared" si="2"/>
        <v>0</v>
      </c>
      <c r="K10" s="3">
        <f t="shared" si="3"/>
        <v>5</v>
      </c>
      <c r="L10" s="2">
        <f t="shared" si="1"/>
        <v>3</v>
      </c>
    </row>
    <row r="11" spans="1:15" x14ac:dyDescent="0.25">
      <c r="A11" t="s">
        <v>12</v>
      </c>
      <c r="B11">
        <v>60</v>
      </c>
      <c r="C11" t="s">
        <v>95</v>
      </c>
      <c r="D11" t="s">
        <v>109</v>
      </c>
      <c r="E11" s="6">
        <v>3</v>
      </c>
      <c r="F11" s="4">
        <f>E11*$O$1</f>
        <v>60</v>
      </c>
      <c r="H11" s="5">
        <f t="shared" si="0"/>
        <v>60</v>
      </c>
      <c r="J11" s="4">
        <f t="shared" si="2"/>
        <v>0</v>
      </c>
      <c r="K11" s="3">
        <f t="shared" si="3"/>
        <v>60</v>
      </c>
      <c r="L11" s="2">
        <f t="shared" si="1"/>
        <v>0</v>
      </c>
    </row>
    <row r="12" spans="1:15" x14ac:dyDescent="0.25">
      <c r="A12" t="s">
        <v>13</v>
      </c>
      <c r="B12">
        <v>100</v>
      </c>
      <c r="C12" t="s">
        <v>96</v>
      </c>
      <c r="D12" t="s">
        <v>120</v>
      </c>
      <c r="E12" s="6">
        <v>2</v>
      </c>
      <c r="F12" s="4">
        <f>E12*$O$1</f>
        <v>40</v>
      </c>
      <c r="H12" s="5">
        <f t="shared" si="0"/>
        <v>40</v>
      </c>
      <c r="J12" s="4">
        <f t="shared" si="2"/>
        <v>0</v>
      </c>
      <c r="K12" s="3">
        <f t="shared" si="3"/>
        <v>40</v>
      </c>
      <c r="L12" s="2">
        <f t="shared" si="1"/>
        <v>60</v>
      </c>
    </row>
    <row r="13" spans="1:15" x14ac:dyDescent="0.25">
      <c r="A13" t="s">
        <v>14</v>
      </c>
      <c r="B13">
        <v>50</v>
      </c>
      <c r="C13" t="s">
        <v>97</v>
      </c>
      <c r="D13" t="s">
        <v>106</v>
      </c>
      <c r="E13" s="6">
        <v>2</v>
      </c>
      <c r="F13" s="4">
        <f>E13*$O$1</f>
        <v>40</v>
      </c>
      <c r="H13" s="5">
        <f t="shared" si="0"/>
        <v>40</v>
      </c>
      <c r="J13" s="4">
        <f t="shared" si="2"/>
        <v>0</v>
      </c>
      <c r="K13" s="3">
        <f t="shared" si="3"/>
        <v>40</v>
      </c>
      <c r="L13" s="2">
        <f t="shared" si="1"/>
        <v>10</v>
      </c>
    </row>
    <row r="14" spans="1:15" x14ac:dyDescent="0.25">
      <c r="A14" t="s">
        <v>15</v>
      </c>
      <c r="B14">
        <v>50</v>
      </c>
      <c r="C14" t="s">
        <v>99</v>
      </c>
      <c r="D14" t="s">
        <v>138</v>
      </c>
      <c r="E14" s="6">
        <v>1.5</v>
      </c>
      <c r="F14" s="4">
        <f>E14*$O$1</f>
        <v>30</v>
      </c>
      <c r="H14" s="5">
        <f t="shared" si="0"/>
        <v>30</v>
      </c>
      <c r="J14" s="4">
        <f t="shared" si="2"/>
        <v>0</v>
      </c>
      <c r="K14" s="3">
        <f t="shared" si="3"/>
        <v>30</v>
      </c>
      <c r="L14" s="2">
        <f t="shared" si="1"/>
        <v>20</v>
      </c>
    </row>
    <row r="15" spans="1:15" x14ac:dyDescent="0.25">
      <c r="A15" t="s">
        <v>16</v>
      </c>
      <c r="B15" t="s">
        <v>102</v>
      </c>
      <c r="C15" t="s">
        <v>98</v>
      </c>
      <c r="D15" t="s">
        <v>110</v>
      </c>
      <c r="E15" s="6">
        <v>0.15</v>
      </c>
      <c r="F15" s="4">
        <f>E15*$O$1</f>
        <v>3</v>
      </c>
      <c r="H15" s="5">
        <f t="shared" si="0"/>
        <v>3</v>
      </c>
      <c r="J15" s="4">
        <f t="shared" si="2"/>
        <v>0</v>
      </c>
      <c r="K15" s="3">
        <f t="shared" si="3"/>
        <v>3</v>
      </c>
      <c r="L15" s="2" t="e">
        <f t="shared" si="1"/>
        <v>#VALUE!</v>
      </c>
    </row>
    <row r="16" spans="1:15" x14ac:dyDescent="0.25">
      <c r="A16" t="s">
        <v>17</v>
      </c>
      <c r="B16">
        <v>1000</v>
      </c>
      <c r="C16" t="s">
        <v>100</v>
      </c>
      <c r="D16" t="s">
        <v>111</v>
      </c>
      <c r="E16" s="6">
        <v>375</v>
      </c>
      <c r="F16" s="4">
        <f>E16*$O$1</f>
        <v>7500</v>
      </c>
      <c r="H16" s="5">
        <f t="shared" si="0"/>
        <v>7500</v>
      </c>
      <c r="I16" s="8">
        <v>0.8</v>
      </c>
      <c r="J16" s="4">
        <f t="shared" si="2"/>
        <v>6000</v>
      </c>
      <c r="K16" s="3">
        <f t="shared" si="3"/>
        <v>1500</v>
      </c>
      <c r="L16" s="2">
        <f t="shared" si="1"/>
        <v>-500</v>
      </c>
      <c r="M16" t="s">
        <v>145</v>
      </c>
      <c r="N16" t="s">
        <v>146</v>
      </c>
      <c r="O16" t="s">
        <v>147</v>
      </c>
    </row>
    <row r="17" spans="1:12" x14ac:dyDescent="0.25">
      <c r="A17" t="s">
        <v>18</v>
      </c>
      <c r="B17">
        <v>75</v>
      </c>
      <c r="C17" t="s">
        <v>101</v>
      </c>
      <c r="D17" t="s">
        <v>112</v>
      </c>
      <c r="E17" s="6">
        <v>12</v>
      </c>
      <c r="F17" s="4">
        <f>E17*$O$1</f>
        <v>240</v>
      </c>
      <c r="H17" s="5">
        <f t="shared" si="0"/>
        <v>240</v>
      </c>
      <c r="J17" s="4">
        <f t="shared" si="2"/>
        <v>0</v>
      </c>
      <c r="K17" s="3">
        <f t="shared" si="3"/>
        <v>240</v>
      </c>
      <c r="L17" s="2">
        <f t="shared" si="1"/>
        <v>-165</v>
      </c>
    </row>
    <row r="18" spans="1:12" x14ac:dyDescent="0.25">
      <c r="A18" t="s">
        <v>19</v>
      </c>
      <c r="B18">
        <v>20</v>
      </c>
      <c r="C18" t="s">
        <v>94</v>
      </c>
      <c r="D18" t="s">
        <v>119</v>
      </c>
      <c r="E18" s="6">
        <v>1.5</v>
      </c>
      <c r="F18" s="4">
        <f>E18*$O$1</f>
        <v>30</v>
      </c>
      <c r="H18" s="5">
        <f t="shared" si="0"/>
        <v>30</v>
      </c>
      <c r="J18" s="4">
        <f t="shared" si="2"/>
        <v>0</v>
      </c>
      <c r="K18" s="3">
        <f t="shared" si="3"/>
        <v>30</v>
      </c>
      <c r="L18" s="2">
        <f t="shared" si="1"/>
        <v>-10</v>
      </c>
    </row>
    <row r="19" spans="1:12" x14ac:dyDescent="0.25">
      <c r="A19" t="s">
        <v>20</v>
      </c>
      <c r="B19">
        <v>25</v>
      </c>
      <c r="C19" t="s">
        <v>93</v>
      </c>
      <c r="D19" t="s">
        <v>113</v>
      </c>
      <c r="E19" s="6">
        <v>1</v>
      </c>
      <c r="F19" s="4">
        <f>E19*$O$1</f>
        <v>20</v>
      </c>
      <c r="H19" s="5">
        <f t="shared" si="0"/>
        <v>20</v>
      </c>
      <c r="J19" s="4">
        <f t="shared" si="2"/>
        <v>0</v>
      </c>
      <c r="K19" s="3">
        <f t="shared" si="3"/>
        <v>20</v>
      </c>
      <c r="L19" s="2">
        <f t="shared" si="1"/>
        <v>5</v>
      </c>
    </row>
    <row r="20" spans="1:12" x14ac:dyDescent="0.25">
      <c r="A20" t="s">
        <v>21</v>
      </c>
      <c r="B20">
        <v>25</v>
      </c>
      <c r="C20" t="s">
        <v>92</v>
      </c>
      <c r="D20" t="s">
        <v>113</v>
      </c>
      <c r="E20" s="6">
        <v>1</v>
      </c>
      <c r="F20" s="4">
        <f>E20*$O$1</f>
        <v>20</v>
      </c>
      <c r="H20" s="5">
        <f t="shared" si="0"/>
        <v>20</v>
      </c>
      <c r="J20" s="4">
        <f t="shared" si="2"/>
        <v>0</v>
      </c>
      <c r="K20" s="3">
        <f t="shared" si="3"/>
        <v>20</v>
      </c>
      <c r="L20" s="2">
        <f t="shared" si="1"/>
        <v>5</v>
      </c>
    </row>
    <row r="21" spans="1:12" x14ac:dyDescent="0.25">
      <c r="A21" t="s">
        <v>22</v>
      </c>
      <c r="B21">
        <v>20</v>
      </c>
      <c r="C21" t="s">
        <v>91</v>
      </c>
      <c r="D21" t="s">
        <v>114</v>
      </c>
      <c r="E21" s="6">
        <v>1.5</v>
      </c>
      <c r="F21" s="4">
        <f>E21*$O$1</f>
        <v>30</v>
      </c>
      <c r="H21" s="5">
        <f t="shared" si="0"/>
        <v>30</v>
      </c>
      <c r="J21" s="4">
        <f t="shared" si="2"/>
        <v>0</v>
      </c>
      <c r="K21" s="3">
        <f t="shared" si="3"/>
        <v>30</v>
      </c>
      <c r="L21" s="2">
        <f t="shared" si="1"/>
        <v>-10</v>
      </c>
    </row>
    <row r="22" spans="1:12" x14ac:dyDescent="0.25">
      <c r="A22" t="s">
        <v>23</v>
      </c>
      <c r="B22">
        <v>60</v>
      </c>
      <c r="C22" t="s">
        <v>90</v>
      </c>
      <c r="D22" t="s">
        <v>118</v>
      </c>
      <c r="E22" s="6">
        <v>12</v>
      </c>
      <c r="F22" s="4">
        <f>E22*$O$1</f>
        <v>240</v>
      </c>
      <c r="H22" s="5">
        <f t="shared" si="0"/>
        <v>240</v>
      </c>
      <c r="J22" s="4">
        <f t="shared" si="2"/>
        <v>0</v>
      </c>
      <c r="K22" s="3">
        <f t="shared" si="3"/>
        <v>240</v>
      </c>
      <c r="L22" s="2">
        <f t="shared" si="1"/>
        <v>-180</v>
      </c>
    </row>
    <row r="23" spans="1:12" x14ac:dyDescent="0.25">
      <c r="A23" t="s">
        <v>24</v>
      </c>
      <c r="B23">
        <v>35</v>
      </c>
      <c r="C23" t="s">
        <v>89</v>
      </c>
      <c r="D23" t="s">
        <v>126</v>
      </c>
      <c r="E23" s="6">
        <v>4</v>
      </c>
      <c r="F23" s="4">
        <f>E23*$O$1</f>
        <v>80</v>
      </c>
      <c r="H23" s="5">
        <f t="shared" si="0"/>
        <v>80</v>
      </c>
      <c r="J23" s="4">
        <f t="shared" si="2"/>
        <v>0</v>
      </c>
      <c r="K23" s="3">
        <f t="shared" si="3"/>
        <v>80</v>
      </c>
      <c r="L23" s="2">
        <f t="shared" si="1"/>
        <v>-45</v>
      </c>
    </row>
    <row r="24" spans="1:12" x14ac:dyDescent="0.25">
      <c r="A24" t="s">
        <v>25</v>
      </c>
      <c r="B24">
        <v>60</v>
      </c>
      <c r="C24" t="s">
        <v>88</v>
      </c>
      <c r="D24" t="s">
        <v>115</v>
      </c>
      <c r="E24" s="6">
        <v>5</v>
      </c>
      <c r="F24" s="4">
        <f>E24*$O$1</f>
        <v>100</v>
      </c>
      <c r="H24" s="5">
        <f t="shared" si="0"/>
        <v>100</v>
      </c>
      <c r="J24" s="4">
        <f t="shared" si="2"/>
        <v>0</v>
      </c>
      <c r="K24" s="3">
        <f t="shared" si="3"/>
        <v>100</v>
      </c>
      <c r="L24" s="2">
        <f t="shared" si="1"/>
        <v>-40</v>
      </c>
    </row>
    <row r="25" spans="1:12" x14ac:dyDescent="0.25">
      <c r="A25" t="s">
        <v>26</v>
      </c>
      <c r="B25">
        <v>40</v>
      </c>
      <c r="C25" t="s">
        <v>87</v>
      </c>
      <c r="D25" t="s">
        <v>116</v>
      </c>
      <c r="E25" s="6">
        <v>2</v>
      </c>
      <c r="F25" s="4">
        <f>E25*$O$1</f>
        <v>40</v>
      </c>
      <c r="H25" s="5">
        <f t="shared" si="0"/>
        <v>40</v>
      </c>
      <c r="J25" s="4">
        <f t="shared" si="2"/>
        <v>0</v>
      </c>
      <c r="K25" s="3">
        <f t="shared" si="3"/>
        <v>40</v>
      </c>
      <c r="L25" s="2">
        <f t="shared" si="1"/>
        <v>0</v>
      </c>
    </row>
    <row r="26" spans="1:12" x14ac:dyDescent="0.25">
      <c r="A26" t="s">
        <v>27</v>
      </c>
      <c r="B26">
        <v>35</v>
      </c>
      <c r="C26" t="s">
        <v>86</v>
      </c>
      <c r="D26" t="s">
        <v>125</v>
      </c>
      <c r="E26" s="6">
        <v>2</v>
      </c>
      <c r="F26" s="4">
        <f>E26*$O$1</f>
        <v>40</v>
      </c>
      <c r="H26" s="5">
        <f t="shared" si="0"/>
        <v>40</v>
      </c>
      <c r="J26" s="4">
        <f t="shared" si="2"/>
        <v>0</v>
      </c>
      <c r="K26" s="3">
        <f t="shared" si="3"/>
        <v>40</v>
      </c>
      <c r="L26" s="2">
        <f t="shared" si="1"/>
        <v>-5</v>
      </c>
    </row>
    <row r="27" spans="1:12" x14ac:dyDescent="0.25">
      <c r="A27" t="s">
        <v>28</v>
      </c>
      <c r="B27">
        <v>150</v>
      </c>
      <c r="C27" t="s">
        <v>85</v>
      </c>
      <c r="D27" t="s">
        <v>117</v>
      </c>
      <c r="E27" s="6">
        <v>30</v>
      </c>
      <c r="F27" s="4">
        <f>E27*$O$1</f>
        <v>600</v>
      </c>
      <c r="H27" s="5">
        <f t="shared" si="0"/>
        <v>600</v>
      </c>
      <c r="J27" s="4">
        <f t="shared" si="2"/>
        <v>0</v>
      </c>
      <c r="K27" s="3">
        <f t="shared" si="3"/>
        <v>600</v>
      </c>
      <c r="L27" s="2">
        <f t="shared" si="1"/>
        <v>-450</v>
      </c>
    </row>
    <row r="28" spans="1:12" x14ac:dyDescent="0.25">
      <c r="A28" t="s">
        <v>29</v>
      </c>
      <c r="B28">
        <v>120</v>
      </c>
      <c r="C28" t="s">
        <v>84</v>
      </c>
      <c r="D28" t="s">
        <v>124</v>
      </c>
      <c r="E28" s="6">
        <v>10</v>
      </c>
      <c r="F28" s="4">
        <f>E28*$O$1</f>
        <v>200</v>
      </c>
      <c r="H28" s="5">
        <f t="shared" si="0"/>
        <v>200</v>
      </c>
      <c r="J28" s="4">
        <f t="shared" si="2"/>
        <v>0</v>
      </c>
      <c r="K28" s="3">
        <f t="shared" si="3"/>
        <v>200</v>
      </c>
      <c r="L28" s="2">
        <f t="shared" si="1"/>
        <v>-80</v>
      </c>
    </row>
    <row r="29" spans="1:12" x14ac:dyDescent="0.25">
      <c r="A29" t="s">
        <v>30</v>
      </c>
      <c r="B29">
        <v>50</v>
      </c>
      <c r="C29" t="s">
        <v>83</v>
      </c>
      <c r="D29" t="s">
        <v>124</v>
      </c>
      <c r="E29" s="6">
        <v>2.5</v>
      </c>
      <c r="F29" s="4">
        <f>E29*$O$1</f>
        <v>50</v>
      </c>
      <c r="H29" s="5">
        <f t="shared" si="0"/>
        <v>50</v>
      </c>
      <c r="J29" s="4">
        <f t="shared" si="2"/>
        <v>0</v>
      </c>
      <c r="K29" s="3">
        <f t="shared" si="3"/>
        <v>50</v>
      </c>
      <c r="L29" s="2">
        <f t="shared" si="1"/>
        <v>0</v>
      </c>
    </row>
    <row r="30" spans="1:12" x14ac:dyDescent="0.25">
      <c r="A30" t="s">
        <v>31</v>
      </c>
      <c r="B30">
        <v>150</v>
      </c>
      <c r="C30" t="s">
        <v>82</v>
      </c>
      <c r="D30" t="s">
        <v>123</v>
      </c>
      <c r="E30" s="6">
        <v>1.5</v>
      </c>
      <c r="F30" s="4">
        <f>E30*$O$1</f>
        <v>30</v>
      </c>
      <c r="H30" s="5">
        <f t="shared" si="0"/>
        <v>30</v>
      </c>
      <c r="J30" s="4">
        <f t="shared" si="2"/>
        <v>0</v>
      </c>
      <c r="K30" s="3">
        <f t="shared" si="3"/>
        <v>30</v>
      </c>
      <c r="L30" s="2">
        <f t="shared" si="1"/>
        <v>120</v>
      </c>
    </row>
    <row r="31" spans="1:12" x14ac:dyDescent="0.25">
      <c r="A31" t="s">
        <v>32</v>
      </c>
      <c r="B31">
        <v>50</v>
      </c>
      <c r="C31" t="s">
        <v>81</v>
      </c>
      <c r="D31" t="s">
        <v>137</v>
      </c>
      <c r="E31" s="6">
        <v>5</v>
      </c>
      <c r="F31" s="4">
        <f>E31*$O$1</f>
        <v>100</v>
      </c>
      <c r="H31" s="5">
        <f t="shared" si="0"/>
        <v>100</v>
      </c>
      <c r="J31" s="4">
        <f t="shared" si="2"/>
        <v>0</v>
      </c>
      <c r="K31" s="3">
        <f t="shared" si="3"/>
        <v>100</v>
      </c>
      <c r="L31" s="2">
        <f t="shared" si="1"/>
        <v>-50</v>
      </c>
    </row>
    <row r="32" spans="1:12" x14ac:dyDescent="0.25">
      <c r="A32" t="s">
        <v>33</v>
      </c>
      <c r="B32">
        <v>10</v>
      </c>
      <c r="C32" t="s">
        <v>80</v>
      </c>
      <c r="D32" t="s">
        <v>140</v>
      </c>
      <c r="E32" s="6">
        <v>0.5</v>
      </c>
      <c r="F32" s="4">
        <f>E32*$O$1</f>
        <v>10</v>
      </c>
      <c r="H32" s="5">
        <f t="shared" si="0"/>
        <v>10</v>
      </c>
      <c r="J32" s="4">
        <f t="shared" si="2"/>
        <v>0</v>
      </c>
      <c r="K32" s="3">
        <f t="shared" si="3"/>
        <v>10</v>
      </c>
      <c r="L32" s="2">
        <f t="shared" si="1"/>
        <v>0</v>
      </c>
    </row>
    <row r="33" spans="1:12" x14ac:dyDescent="0.25">
      <c r="A33" t="s">
        <v>34</v>
      </c>
      <c r="B33">
        <v>20</v>
      </c>
      <c r="C33" t="s">
        <v>79</v>
      </c>
      <c r="D33" t="s">
        <v>119</v>
      </c>
      <c r="E33" s="6">
        <v>1</v>
      </c>
      <c r="F33" s="4">
        <f>E33*$O$1</f>
        <v>20</v>
      </c>
      <c r="H33" s="5">
        <f t="shared" si="0"/>
        <v>20</v>
      </c>
      <c r="J33" s="4">
        <f t="shared" si="2"/>
        <v>0</v>
      </c>
      <c r="K33" s="3">
        <f t="shared" si="3"/>
        <v>20</v>
      </c>
      <c r="L33" s="2">
        <f t="shared" si="1"/>
        <v>0</v>
      </c>
    </row>
    <row r="34" spans="1:12" x14ac:dyDescent="0.25">
      <c r="A34" t="s">
        <v>36</v>
      </c>
      <c r="B34">
        <v>10</v>
      </c>
      <c r="C34" t="s">
        <v>77</v>
      </c>
      <c r="D34" t="s">
        <v>113</v>
      </c>
      <c r="E34" s="6">
        <v>1</v>
      </c>
      <c r="F34" s="4">
        <f>E34*$O$1</f>
        <v>20</v>
      </c>
      <c r="H34" s="5">
        <f t="shared" si="0"/>
        <v>20</v>
      </c>
      <c r="J34" s="4">
        <f t="shared" si="2"/>
        <v>0</v>
      </c>
      <c r="K34" s="3">
        <f t="shared" si="3"/>
        <v>20</v>
      </c>
      <c r="L34" s="2">
        <f t="shared" si="1"/>
        <v>-10</v>
      </c>
    </row>
    <row r="35" spans="1:12" x14ac:dyDescent="0.25">
      <c r="A35" t="s">
        <v>37</v>
      </c>
      <c r="B35" t="s">
        <v>38</v>
      </c>
      <c r="C35" t="s">
        <v>76</v>
      </c>
      <c r="D35" t="s">
        <v>136</v>
      </c>
      <c r="E35" s="6">
        <v>8</v>
      </c>
      <c r="F35" s="4">
        <f>E35*$O$1</f>
        <v>160</v>
      </c>
      <c r="H35" s="5">
        <f t="shared" si="0"/>
        <v>160</v>
      </c>
      <c r="J35" s="4">
        <f t="shared" si="2"/>
        <v>0</v>
      </c>
      <c r="K35" s="3">
        <f t="shared" si="3"/>
        <v>160</v>
      </c>
      <c r="L35" s="2" t="e">
        <f t="shared" si="1"/>
        <v>#VALUE!</v>
      </c>
    </row>
    <row r="36" spans="1:12" x14ac:dyDescent="0.25">
      <c r="A36" t="s">
        <v>39</v>
      </c>
      <c r="B36">
        <v>65</v>
      </c>
      <c r="C36" t="s">
        <v>75</v>
      </c>
      <c r="D36" t="s">
        <v>128</v>
      </c>
      <c r="E36" s="6">
        <v>12</v>
      </c>
      <c r="F36" s="4">
        <f>E36*$O$1</f>
        <v>240</v>
      </c>
      <c r="H36" s="5">
        <f t="shared" si="0"/>
        <v>240</v>
      </c>
      <c r="J36" s="4">
        <f t="shared" si="2"/>
        <v>0</v>
      </c>
      <c r="K36" s="3">
        <f t="shared" si="3"/>
        <v>240</v>
      </c>
      <c r="L36" s="2">
        <f t="shared" si="1"/>
        <v>-175</v>
      </c>
    </row>
    <row r="37" spans="1:12" x14ac:dyDescent="0.25">
      <c r="A37" t="s">
        <v>35</v>
      </c>
      <c r="B37">
        <v>80</v>
      </c>
      <c r="C37" t="s">
        <v>78</v>
      </c>
      <c r="D37" t="s">
        <v>127</v>
      </c>
      <c r="E37" s="6">
        <v>16</v>
      </c>
      <c r="F37" s="4">
        <f>E37*$O$1</f>
        <v>320</v>
      </c>
      <c r="H37" s="5">
        <f t="shared" si="0"/>
        <v>320</v>
      </c>
      <c r="J37" s="4">
        <f t="shared" si="2"/>
        <v>0</v>
      </c>
      <c r="K37" s="3">
        <f t="shared" si="3"/>
        <v>320</v>
      </c>
      <c r="L37" s="2">
        <f t="shared" si="1"/>
        <v>-240</v>
      </c>
    </row>
    <row r="38" spans="1:12" x14ac:dyDescent="0.25">
      <c r="A38" t="s">
        <v>40</v>
      </c>
      <c r="B38">
        <v>20</v>
      </c>
      <c r="C38" t="s">
        <v>74</v>
      </c>
      <c r="D38" t="s">
        <v>119</v>
      </c>
      <c r="E38" s="6">
        <v>1.5</v>
      </c>
      <c r="F38" s="4">
        <f>E38*$O$1</f>
        <v>30</v>
      </c>
      <c r="H38" s="5">
        <f t="shared" si="0"/>
        <v>30</v>
      </c>
      <c r="J38" s="4">
        <f t="shared" si="2"/>
        <v>0</v>
      </c>
      <c r="K38" s="3">
        <f t="shared" si="3"/>
        <v>30</v>
      </c>
      <c r="L38" s="2">
        <f t="shared" si="1"/>
        <v>-10</v>
      </c>
    </row>
    <row r="39" spans="1:12" x14ac:dyDescent="0.25">
      <c r="A39" t="s">
        <v>41</v>
      </c>
      <c r="B39">
        <v>200</v>
      </c>
      <c r="C39" t="s">
        <v>73</v>
      </c>
      <c r="D39" t="s">
        <v>123</v>
      </c>
      <c r="E39" s="6">
        <v>50</v>
      </c>
      <c r="F39" s="4">
        <f>E39*$O$1</f>
        <v>1000</v>
      </c>
      <c r="H39" s="5">
        <f t="shared" si="0"/>
        <v>1000</v>
      </c>
      <c r="J39" s="4">
        <f t="shared" si="2"/>
        <v>0</v>
      </c>
      <c r="K39" s="3">
        <f t="shared" si="3"/>
        <v>1000</v>
      </c>
      <c r="L39" s="2">
        <f t="shared" si="1"/>
        <v>-800</v>
      </c>
    </row>
    <row r="40" spans="1:12" x14ac:dyDescent="0.25">
      <c r="A40" t="s">
        <v>42</v>
      </c>
      <c r="B40">
        <v>5</v>
      </c>
      <c r="C40" t="s">
        <v>72</v>
      </c>
      <c r="D40" t="s">
        <v>129</v>
      </c>
      <c r="E40" s="6">
        <v>0.15</v>
      </c>
      <c r="F40" s="4">
        <f>E40*$O$1</f>
        <v>3</v>
      </c>
      <c r="G40" s="7">
        <v>0.5</v>
      </c>
      <c r="H40" s="5">
        <f t="shared" si="0"/>
        <v>3.5</v>
      </c>
      <c r="J40" s="4">
        <f t="shared" si="2"/>
        <v>0</v>
      </c>
      <c r="K40" s="3">
        <f t="shared" si="3"/>
        <v>3.5</v>
      </c>
      <c r="L40" s="2">
        <f t="shared" si="1"/>
        <v>1.5</v>
      </c>
    </row>
    <row r="41" spans="1:12" x14ac:dyDescent="0.25">
      <c r="A41" t="s">
        <v>43</v>
      </c>
      <c r="B41">
        <v>7</v>
      </c>
      <c r="C41" t="s">
        <v>71</v>
      </c>
      <c r="D41" t="s">
        <v>129</v>
      </c>
      <c r="E41" s="6">
        <v>0.5</v>
      </c>
      <c r="F41" s="4">
        <f>E41*$O$1</f>
        <v>10</v>
      </c>
      <c r="H41" s="5">
        <f t="shared" si="0"/>
        <v>10</v>
      </c>
      <c r="J41" s="4">
        <f t="shared" si="2"/>
        <v>0</v>
      </c>
      <c r="K41" s="3">
        <f t="shared" si="3"/>
        <v>10</v>
      </c>
      <c r="L41" s="2">
        <f t="shared" si="1"/>
        <v>-3</v>
      </c>
    </row>
    <row r="42" spans="1:12" x14ac:dyDescent="0.25">
      <c r="A42" t="s">
        <v>44</v>
      </c>
      <c r="B42" t="s">
        <v>104</v>
      </c>
      <c r="C42" t="s">
        <v>70</v>
      </c>
      <c r="D42" t="s">
        <v>122</v>
      </c>
      <c r="E42" s="6">
        <v>2</v>
      </c>
      <c r="F42" s="4">
        <f>E42*$O$1</f>
        <v>40</v>
      </c>
      <c r="H42" s="5">
        <f t="shared" si="0"/>
        <v>40</v>
      </c>
      <c r="J42" s="4">
        <f t="shared" si="2"/>
        <v>0</v>
      </c>
      <c r="K42" s="3">
        <f t="shared" si="3"/>
        <v>40</v>
      </c>
      <c r="L42" s="2" t="e">
        <f t="shared" si="1"/>
        <v>#VALUE!</v>
      </c>
    </row>
    <row r="43" spans="1:12" x14ac:dyDescent="0.25">
      <c r="A43" t="s">
        <v>45</v>
      </c>
      <c r="B43">
        <v>15</v>
      </c>
      <c r="C43" t="s">
        <v>69</v>
      </c>
      <c r="D43" t="s">
        <v>130</v>
      </c>
      <c r="E43" s="6">
        <v>1</v>
      </c>
      <c r="F43" s="4">
        <f>E43*$O$1</f>
        <v>20</v>
      </c>
      <c r="H43" s="5">
        <f t="shared" si="0"/>
        <v>20</v>
      </c>
      <c r="J43" s="4">
        <f t="shared" si="2"/>
        <v>0</v>
      </c>
      <c r="K43" s="3">
        <f t="shared" si="3"/>
        <v>20</v>
      </c>
      <c r="L43" s="2">
        <f t="shared" si="1"/>
        <v>-5</v>
      </c>
    </row>
    <row r="44" spans="1:12" x14ac:dyDescent="0.25">
      <c r="A44" t="s">
        <v>46</v>
      </c>
      <c r="B44">
        <v>30</v>
      </c>
      <c r="C44" t="s">
        <v>68</v>
      </c>
      <c r="D44" t="s">
        <v>131</v>
      </c>
      <c r="E44" s="6">
        <v>3</v>
      </c>
      <c r="F44" s="4">
        <f>E44*$O$1</f>
        <v>60</v>
      </c>
      <c r="H44" s="5">
        <f t="shared" si="0"/>
        <v>60</v>
      </c>
      <c r="J44" s="4">
        <f t="shared" si="2"/>
        <v>0</v>
      </c>
      <c r="K44" s="3">
        <f t="shared" si="3"/>
        <v>60</v>
      </c>
      <c r="L44" s="2">
        <f t="shared" si="1"/>
        <v>-30</v>
      </c>
    </row>
    <row r="45" spans="1:12" x14ac:dyDescent="0.25">
      <c r="A45" t="s">
        <v>47</v>
      </c>
      <c r="B45">
        <v>30</v>
      </c>
      <c r="C45" t="s">
        <v>67</v>
      </c>
      <c r="D45" t="s">
        <v>132</v>
      </c>
      <c r="E45" s="6">
        <v>2</v>
      </c>
      <c r="F45" s="4">
        <f>E45*$O$1</f>
        <v>40</v>
      </c>
      <c r="H45" s="5">
        <f t="shared" si="0"/>
        <v>40</v>
      </c>
      <c r="J45" s="4">
        <f t="shared" si="2"/>
        <v>0</v>
      </c>
      <c r="K45" s="3">
        <f t="shared" si="3"/>
        <v>40</v>
      </c>
      <c r="L45" s="2">
        <f t="shared" si="1"/>
        <v>-10</v>
      </c>
    </row>
    <row r="46" spans="1:12" x14ac:dyDescent="0.25">
      <c r="A46" t="s">
        <v>48</v>
      </c>
      <c r="B46">
        <v>30</v>
      </c>
      <c r="C46" t="s">
        <v>66</v>
      </c>
      <c r="D46" t="s">
        <v>133</v>
      </c>
      <c r="E46" s="6">
        <v>1</v>
      </c>
      <c r="F46" s="4">
        <f>E46*$O$1</f>
        <v>20</v>
      </c>
      <c r="H46" s="5">
        <f t="shared" si="0"/>
        <v>20</v>
      </c>
      <c r="J46" s="4">
        <f t="shared" si="2"/>
        <v>0</v>
      </c>
      <c r="K46" s="3">
        <f t="shared" si="3"/>
        <v>20</v>
      </c>
      <c r="L46" s="2">
        <f t="shared" si="1"/>
        <v>10</v>
      </c>
    </row>
    <row r="47" spans="1:12" x14ac:dyDescent="0.25">
      <c r="A47" t="s">
        <v>49</v>
      </c>
      <c r="B47">
        <v>22</v>
      </c>
      <c r="C47" t="s">
        <v>65</v>
      </c>
      <c r="D47" t="s">
        <v>134</v>
      </c>
      <c r="E47" s="6">
        <v>2</v>
      </c>
      <c r="F47" s="4">
        <f>E47*$O$1</f>
        <v>40</v>
      </c>
      <c r="H47" s="5">
        <f t="shared" si="0"/>
        <v>40</v>
      </c>
      <c r="J47" s="4">
        <f t="shared" si="2"/>
        <v>0</v>
      </c>
      <c r="K47" s="3">
        <f t="shared" si="3"/>
        <v>40</v>
      </c>
      <c r="L47" s="2">
        <f t="shared" si="1"/>
        <v>-18</v>
      </c>
    </row>
    <row r="48" spans="1:12" x14ac:dyDescent="0.25">
      <c r="A48" t="s">
        <v>50</v>
      </c>
      <c r="B48">
        <v>95</v>
      </c>
      <c r="C48" t="s">
        <v>64</v>
      </c>
      <c r="D48" t="s">
        <v>124</v>
      </c>
      <c r="E48" s="6">
        <v>7</v>
      </c>
      <c r="F48" s="4">
        <f>E48*$O$1</f>
        <v>140</v>
      </c>
      <c r="H48" s="5">
        <f t="shared" si="0"/>
        <v>140</v>
      </c>
      <c r="J48" s="4">
        <f t="shared" si="2"/>
        <v>0</v>
      </c>
      <c r="K48" s="3">
        <f t="shared" si="3"/>
        <v>140</v>
      </c>
      <c r="L48" s="2">
        <f t="shared" si="1"/>
        <v>-45</v>
      </c>
    </row>
    <row r="49" spans="1:12" x14ac:dyDescent="0.25">
      <c r="A49" t="s">
        <v>51</v>
      </c>
      <c r="B49">
        <v>30</v>
      </c>
      <c r="C49" t="s">
        <v>63</v>
      </c>
      <c r="D49" t="s">
        <v>135</v>
      </c>
      <c r="E49" s="6">
        <v>2</v>
      </c>
      <c r="F49" s="4">
        <f>E49*$O$1</f>
        <v>40</v>
      </c>
      <c r="H49" s="5">
        <f t="shared" si="0"/>
        <v>40</v>
      </c>
      <c r="J49" s="4">
        <f t="shared" si="2"/>
        <v>0</v>
      </c>
      <c r="K49" s="3">
        <f t="shared" si="3"/>
        <v>40</v>
      </c>
      <c r="L49" s="2">
        <f t="shared" si="1"/>
        <v>-10</v>
      </c>
    </row>
    <row r="50" spans="1:12" x14ac:dyDescent="0.25">
      <c r="A50" t="s">
        <v>52</v>
      </c>
      <c r="B50">
        <v>75</v>
      </c>
      <c r="C50" t="s">
        <v>62</v>
      </c>
      <c r="D50" t="s">
        <v>105</v>
      </c>
      <c r="E50" s="6">
        <v>5</v>
      </c>
      <c r="F50" s="4">
        <f>E50*$O$1</f>
        <v>100</v>
      </c>
      <c r="H50" s="5">
        <f t="shared" si="0"/>
        <v>100</v>
      </c>
      <c r="J50" s="4">
        <f t="shared" si="2"/>
        <v>0</v>
      </c>
      <c r="K50" s="3">
        <f t="shared" si="3"/>
        <v>100</v>
      </c>
      <c r="L50" s="2">
        <f t="shared" si="1"/>
        <v>-25</v>
      </c>
    </row>
  </sheetData>
  <conditionalFormatting sqref="L2:L50">
    <cfRule type="cellIs" dxfId="0" priority="2" operator="lessThan">
      <formula>0</formula>
    </cfRule>
    <cfRule type="cellIs" dxfId="1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Megan Summers</dc:creator>
  <cp:lastModifiedBy>Megan Summers</cp:lastModifiedBy>
  <dcterms:created xsi:type="dcterms:W3CDTF">2026-06-10T14:11:51Z</dcterms:created>
  <dcterms:modified xsi:type="dcterms:W3CDTF">2026-06-25T16:38:01Z</dcterms:modified>
</cp:coreProperties>
</file>